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ol\OneDrive\Desktop\projeto clinica médica\"/>
    </mc:Choice>
  </mc:AlternateContent>
  <bookViews>
    <workbookView xWindow="0" yWindow="0" windowWidth="11300" windowHeight="3310" tabRatio="742" firstSheet="1" activeTab="4"/>
  </bookViews>
  <sheets>
    <sheet name="Faturamento_de_Cada_Mês" sheetId="1" r:id="rId1"/>
    <sheet name="Faturamento_por_Medico" sheetId="2" r:id="rId2"/>
    <sheet name="Pacientes_com_Mais_Receita" sheetId="3" r:id="rId3"/>
    <sheet name="Consulta_por_Cidade" sheetId="4" r:id="rId4"/>
    <sheet name="Dashboard_Clinica" sheetId="5" r:id="rId5"/>
  </sheets>
  <definedNames>
    <definedName name="faturamento_mensal" localSheetId="0">Faturamento_de_Cada_Mês!$A$1:$A$5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5" l="1"/>
  <c r="F5" i="5"/>
  <c r="E5" i="5"/>
  <c r="D5" i="5"/>
  <c r="C5" i="5"/>
  <c r="B5" i="5"/>
</calcChain>
</file>

<file path=xl/connections.xml><?xml version="1.0" encoding="utf-8"?>
<connections xmlns="http://schemas.openxmlformats.org/spreadsheetml/2006/main">
  <connection id="1" name="faturamento_mensal" type="6" refreshedVersion="6" background="1" saveData="1">
    <textPr codePage="65001" sourceFile="C:\Users\carol\OneDrive\Desktop\projeto clinica médica\tabelas exportadas SQL\faturamento_mensal.csv" decimal="," thousands="." delimiter="_x0000_">
      <textFields>
        <textField/>
      </textFields>
    </textPr>
  </connection>
</connections>
</file>

<file path=xl/sharedStrings.xml><?xml version="1.0" encoding="utf-8"?>
<sst xmlns="http://schemas.openxmlformats.org/spreadsheetml/2006/main" count="73" uniqueCount="56">
  <si>
    <t>numero_mes</t>
  </si>
  <si>
    <t>mes</t>
  </si>
  <si>
    <t>faturamento</t>
  </si>
  <si>
    <t>faturamento_acumulado</t>
  </si>
  <si>
    <t>diferença</t>
  </si>
  <si>
    <t>ranking</t>
  </si>
  <si>
    <t>nome</t>
  </si>
  <si>
    <t>total_consultas</t>
  </si>
  <si>
    <t>faturamento_do_medico</t>
  </si>
  <si>
    <t>Dra. Fernanda Rocha</t>
  </si>
  <si>
    <t>Dra. Camila Torres</t>
  </si>
  <si>
    <t>Dr. Marcos Oliveira</t>
  </si>
  <si>
    <t>Dr. Ricardo Alves</t>
  </si>
  <si>
    <t>Dra. Fernanda Lima</t>
  </si>
  <si>
    <t>Dr. Gustavo Rocha</t>
  </si>
  <si>
    <t>Dra. Camila Duarte</t>
  </si>
  <si>
    <t>Dr. Marcelo Nunes</t>
  </si>
  <si>
    <t>Dr. João Silva</t>
  </si>
  <si>
    <t>gasto_total</t>
  </si>
  <si>
    <t>ticket_medio</t>
  </si>
  <si>
    <t>Matheus Garcia</t>
  </si>
  <si>
    <t>Luiza Carvalho</t>
  </si>
  <si>
    <t>Guilherme Patez</t>
  </si>
  <si>
    <t>Livia Graciani</t>
  </si>
  <si>
    <t>Ricardo Anthony</t>
  </si>
  <si>
    <t>Kaiqui Azevedo</t>
  </si>
  <si>
    <t>Juliana Ferreira</t>
  </si>
  <si>
    <t>Patricia Souza</t>
  </si>
  <si>
    <t>Rafael Gomes</t>
  </si>
  <si>
    <t>Luciana Yamaguchi</t>
  </si>
  <si>
    <t>Gabriel Santos</t>
  </si>
  <si>
    <t>Lucas Martins</t>
  </si>
  <si>
    <t>Bruno Carvalho</t>
  </si>
  <si>
    <t>Mariana Araujo</t>
  </si>
  <si>
    <t>Felipe Ribeiro</t>
  </si>
  <si>
    <t>Amanda Teixeira</t>
  </si>
  <si>
    <t>cidade</t>
  </si>
  <si>
    <t>Campinas</t>
  </si>
  <si>
    <t>Rio de Janeiro</t>
  </si>
  <si>
    <t>Belo Horizonte</t>
  </si>
  <si>
    <t>Curitiba</t>
  </si>
  <si>
    <t>Porto Alegre</t>
  </si>
  <si>
    <t>Salvador</t>
  </si>
  <si>
    <t>São Paulo</t>
  </si>
  <si>
    <t>Faturamento Total</t>
  </si>
  <si>
    <t>Total Consulta</t>
  </si>
  <si>
    <t>Ticket Médio</t>
  </si>
  <si>
    <t>Top Médico</t>
  </si>
  <si>
    <t>Top Paciente</t>
  </si>
  <si>
    <t>Top Cidade</t>
  </si>
  <si>
    <t>Dashboard de Desempenho da Clínica</t>
  </si>
  <si>
    <t>TOP 5 PACIENTES</t>
  </si>
  <si>
    <t>Janeiro</t>
  </si>
  <si>
    <t>Fevereiro</t>
  </si>
  <si>
    <t>Março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</si>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</sst>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F9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164" fontId="0" fillId="0" borderId="0" xfId="0" applyNumberFormat="1"/>
    <xf numFmtId="0" fontId="0" fillId="0" borderId="0" xfId="0" applyFont="1"/>
    <xf numFmtId="0" fontId="0" fillId="0" borderId="1" xfId="0" applyBorder="1"/>
    <xf numFmtId="0" fontId="0" fillId="0" borderId="8" xfId="0" applyBorder="1"/>
    <xf numFmtId="44" fontId="0" fillId="0" borderId="1" xfId="1" applyNumberFormat="1" applyFont="1" applyBorder="1"/>
    <xf numFmtId="44" fontId="0" fillId="0" borderId="6" xfId="1" applyNumberFormat="1" applyFont="1" applyBorder="1"/>
    <xf numFmtId="44" fontId="0" fillId="0" borderId="8" xfId="1" applyNumberFormat="1" applyFont="1" applyBorder="1"/>
    <xf numFmtId="44" fontId="0" fillId="0" borderId="9" xfId="1" applyNumberFormat="1" applyFont="1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164" fontId="0" fillId="5" borderId="6" xfId="0" applyNumberForma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left"/>
    </xf>
    <xf numFmtId="0" fontId="0" fillId="5" borderId="1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164" fontId="0" fillId="6" borderId="6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1" xfId="1" applyNumberFormat="1" applyFont="1" applyBorder="1" applyAlignment="1">
      <alignment horizontal="left"/>
    </xf>
    <xf numFmtId="164" fontId="0" fillId="0" borderId="8" xfId="1" applyNumberFormat="1" applyFont="1" applyBorder="1" applyAlignment="1">
      <alignment horizontal="left"/>
    </xf>
    <xf numFmtId="164" fontId="0" fillId="2" borderId="1" xfId="1" applyNumberFormat="1" applyFont="1" applyFill="1" applyBorder="1" applyAlignment="1">
      <alignment horizontal="left"/>
    </xf>
    <xf numFmtId="164" fontId="0" fillId="0" borderId="6" xfId="1" applyNumberFormat="1" applyFont="1" applyBorder="1" applyAlignment="1">
      <alignment horizontal="left"/>
    </xf>
    <xf numFmtId="164" fontId="0" fillId="0" borderId="9" xfId="1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6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0" borderId="9" xfId="0" applyNumberFormat="1" applyBorder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164" fontId="0" fillId="2" borderId="6" xfId="1" applyNumberFormat="1" applyFont="1" applyFill="1" applyBorder="1" applyAlignment="1">
      <alignment horizontal="left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center"/>
    </xf>
    <xf numFmtId="164" fontId="0" fillId="2" borderId="8" xfId="1" applyNumberFormat="1" applyFont="1" applyFill="1" applyBorder="1" applyAlignment="1">
      <alignment horizontal="left"/>
    </xf>
    <xf numFmtId="164" fontId="0" fillId="2" borderId="9" xfId="1" applyNumberFormat="1" applyFont="1" applyFill="1" applyBorder="1" applyAlignment="1">
      <alignment horizontal="left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left"/>
    </xf>
    <xf numFmtId="0" fontId="0" fillId="6" borderId="8" xfId="0" applyFill="1" applyBorder="1" applyAlignment="1">
      <alignment horizontal="center"/>
    </xf>
    <xf numFmtId="164" fontId="0" fillId="6" borderId="9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4" borderId="11" xfId="0" applyFont="1" applyFill="1" applyBorder="1" applyAlignment="1">
      <alignment horizontal="center"/>
    </xf>
    <xf numFmtId="44" fontId="6" fillId="0" borderId="11" xfId="1" applyFont="1" applyBorder="1" applyAlignment="1">
      <alignment horizontal="center"/>
    </xf>
    <xf numFmtId="0" fontId="7" fillId="0" borderId="11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4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[$R$-416]\ * #,##0.00_-;\-[$R$-416]\ * #,##0.00_-;_-[$R$-416]\ * &quot;-&quot;??_-;_-@_-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[$R$-416]\ * #,##0.00_-;\-[$R$-416]\ * #,##0.00_-;_-[$R$-416]\ * &quot;-&quot;??_-;_-@_-"/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border outline="0">
        <top style="medium">
          <color auto="1"/>
        </top>
      </border>
    </dxf>
    <dxf>
      <border outline="0">
        <bottom style="medium">
          <color auto="1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border>
        <top style="medium">
          <color auto="1"/>
        </top>
      </border>
    </dxf>
    <dxf>
      <border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border outline="0">
        <top style="medium">
          <color auto="1"/>
        </top>
      </border>
    </dxf>
    <dxf>
      <border outline="0">
        <bottom style="medium">
          <color auto="1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border>
        <top style="medium">
          <color auto="1"/>
        </top>
      </border>
    </dxf>
    <dxf>
      <border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border>
        <top style="medium">
          <color auto="1"/>
        </top>
      </border>
    </dxf>
    <dxf>
      <border>
        <bottom style="medium">
          <color auto="1"/>
        </bottom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[$R$-416]\ * #,##0.00_-;\-[$R$-416]\ * #,##0.00_-;_-[$R$-416]\ * &quot;-&quot;??_-;_-@_-"/>
      <alignment horizontal="left" vertical="bottom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[$R$-416]\ * #,##0.00_-;\-[$R$-416]\ * #,##0.00_-;_-[$R$-416]\ * &quot;-&quot;??_-;_-@_-"/>
      <alignment horizontal="left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64" formatCode="_-[$R$-416]\ * #,##0.00_-;\-[$R$-416]\ * #,##0.00_-;_-[$R$-416]\ * &quot;-&quot;??_-;_-@_-"/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164" formatCode="_-[$R$-416]\ * #,##0.00_-;\-[$R$-416]\ * #,##0.00_-;_-[$R$-416]\ * &quot;-&quot;??_-;_-@_-"/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numFmt numFmtId="164" formatCode="_-[$R$-416]\ * #,##0.00_-;\-[$R$-416]\ * #,##0.00_-;_-[$R$-416]\ * &quot;-&quot;??_-;_-@_-"/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 outline="0">
        <left style="medium">
          <color auto="1"/>
        </left>
        <right/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border diagonalUp="0" diagonalDown="0"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1" defaultTableStyle="TableStyleMedium2" defaultPivotStyle="PivotStyleLight16">
    <tableStyle name="Estilo de Tabela 1" pivot="0" count="1">
      <tableStyleElement type="headerRow" dxfId="42"/>
    </tableStyle>
  </tableStyles>
  <colors>
    <mruColors>
      <color rgb="FFFF2525"/>
      <color rgb="FFFF9F9F"/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de</a:t>
            </a:r>
            <a:r>
              <a:rPr lang="en-US" baseline="0"/>
              <a:t> Cada</a:t>
            </a:r>
            <a:r>
              <a:rPr lang="en-US"/>
              <a:t>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298425196850395"/>
          <c:y val="0.18097222222222226"/>
          <c:w val="0.796460192475940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Faturamento_de_Cada_Mês!$D$3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Faturamento_de_Cada_Mês!$C$4:$C$7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Faturamento_de_Cada_Mês!$D$4:$D$7</c:f>
              <c:numCache>
                <c:formatCode>_("R$"* #,##0.00_);_("R$"* \(#,##0.00\);_("R$"* "-"??_);_(@_)</c:formatCode>
                <c:ptCount val="4"/>
                <c:pt idx="0">
                  <c:v>3390</c:v>
                </c:pt>
                <c:pt idx="1">
                  <c:v>7770</c:v>
                </c:pt>
                <c:pt idx="2">
                  <c:v>4560</c:v>
                </c:pt>
                <c:pt idx="3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8-4E5E-B731-7EC47449D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409568"/>
        <c:axId val="1809397920"/>
      </c:barChart>
      <c:catAx>
        <c:axId val="180940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9397920"/>
        <c:crosses val="autoZero"/>
        <c:auto val="1"/>
        <c:lblAlgn val="ctr"/>
        <c:lblOffset val="100"/>
        <c:noMultiLvlLbl val="0"/>
      </c:catAx>
      <c:valAx>
        <c:axId val="180939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9409568"/>
        <c:crosses val="autoZero"/>
        <c:crossBetween val="between"/>
      </c:valAx>
      <c:spPr>
        <a:solidFill>
          <a:schemeClr val="bg2">
            <a:lumMod val="9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Faturamento</a:t>
            </a:r>
            <a:r>
              <a:rPr lang="en-US" b="1" baseline="0">
                <a:solidFill>
                  <a:schemeClr val="tx1"/>
                </a:solidFill>
              </a:rPr>
              <a:t> por Médico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Faturamento_por_Medico!$E$3</c:f>
              <c:strCache>
                <c:ptCount val="1"/>
                <c:pt idx="0">
                  <c:v>faturamento_do_medico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Faturamento_por_Medico!$C$4:$C$12</c:f>
              <c:strCache>
                <c:ptCount val="9"/>
                <c:pt idx="0">
                  <c:v>Dr. João Silva</c:v>
                </c:pt>
                <c:pt idx="1">
                  <c:v>Dr. Marcos Oliveira</c:v>
                </c:pt>
                <c:pt idx="2">
                  <c:v>Dr. Marcelo Nunes</c:v>
                </c:pt>
                <c:pt idx="3">
                  <c:v>Dra. Camila Torres</c:v>
                </c:pt>
                <c:pt idx="4">
                  <c:v>Dr. Ricardo Alves</c:v>
                </c:pt>
                <c:pt idx="5">
                  <c:v>Dra. Fernanda Rocha</c:v>
                </c:pt>
                <c:pt idx="6">
                  <c:v>Dra. Camila Duarte</c:v>
                </c:pt>
                <c:pt idx="7">
                  <c:v>Dr. Gustavo Rocha</c:v>
                </c:pt>
                <c:pt idx="8">
                  <c:v>Dra. Fernanda Lima</c:v>
                </c:pt>
              </c:strCache>
            </c:strRef>
          </c:cat>
          <c:val>
            <c:numRef>
              <c:f>Faturamento_por_Medico!$E$4:$E$12</c:f>
              <c:numCache>
                <c:formatCode>_-[$R$-416]\ * #,##0.00_-;\-[$R$-416]\ * #,##0.00_-;_-[$R$-416]\ * "-"??_-;_-@_-</c:formatCode>
                <c:ptCount val="9"/>
                <c:pt idx="0">
                  <c:v>2400</c:v>
                </c:pt>
                <c:pt idx="1">
                  <c:v>2300</c:v>
                </c:pt>
                <c:pt idx="2">
                  <c:v>2240</c:v>
                </c:pt>
                <c:pt idx="3">
                  <c:v>2050</c:v>
                </c:pt>
                <c:pt idx="4">
                  <c:v>2000</c:v>
                </c:pt>
                <c:pt idx="5">
                  <c:v>1900</c:v>
                </c:pt>
                <c:pt idx="6">
                  <c:v>1800</c:v>
                </c:pt>
                <c:pt idx="7">
                  <c:v>1760</c:v>
                </c:pt>
                <c:pt idx="8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6-4B89-84C1-343ADA8A0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730304"/>
        <c:axId val="657720320"/>
      </c:barChart>
      <c:catAx>
        <c:axId val="65773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720320"/>
        <c:crosses val="autoZero"/>
        <c:auto val="1"/>
        <c:lblAlgn val="ctr"/>
        <c:lblOffset val="100"/>
        <c:noMultiLvlLbl val="0"/>
      </c:catAx>
      <c:valAx>
        <c:axId val="65772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73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PACIENTES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Pacientes_com_Mais_Receita!$E$22</c:f>
              <c:strCache>
                <c:ptCount val="1"/>
                <c:pt idx="0">
                  <c:v>gasto_total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Pacientes_com_Mais_Receita!$C$23:$C$27</c:f>
              <c:strCache>
                <c:ptCount val="5"/>
                <c:pt idx="0">
                  <c:v>Ricardo Anthony</c:v>
                </c:pt>
                <c:pt idx="1">
                  <c:v>Livia Graciani</c:v>
                </c:pt>
                <c:pt idx="2">
                  <c:v>Guilherme Patez</c:v>
                </c:pt>
                <c:pt idx="3">
                  <c:v>Luiza Carvalho</c:v>
                </c:pt>
                <c:pt idx="4">
                  <c:v>Matheus Garcia</c:v>
                </c:pt>
              </c:strCache>
            </c:strRef>
          </c:cat>
          <c:val>
            <c:numRef>
              <c:f>Pacientes_com_Mais_Receita!$E$23:$E$27</c:f>
              <c:numCache>
                <c:formatCode>_-[$R$-416]\ * #,##0.00_-;\-[$R$-416]\ * #,##0.00_-;_-[$R$-416]\ * "-"??_-;_-@_-</c:formatCode>
                <c:ptCount val="5"/>
                <c:pt idx="0">
                  <c:v>1190</c:v>
                </c:pt>
                <c:pt idx="1">
                  <c:v>1230</c:v>
                </c:pt>
                <c:pt idx="2">
                  <c:v>1240</c:v>
                </c:pt>
                <c:pt idx="3">
                  <c:v>1290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C-4F64-B50B-9965D72BD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2578256"/>
        <c:axId val="682583664"/>
      </c:barChart>
      <c:catAx>
        <c:axId val="68257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583664"/>
        <c:crosses val="autoZero"/>
        <c:auto val="1"/>
        <c:lblAlgn val="ctr"/>
        <c:lblOffset val="100"/>
        <c:noMultiLvlLbl val="0"/>
      </c:catAx>
      <c:valAx>
        <c:axId val="68258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578256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Consulta</a:t>
            </a:r>
            <a:r>
              <a:rPr lang="en-US" baseline="0"/>
              <a:t> por Cidade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Consulta_por_Cidade!$D$3</c:f>
              <c:strCache>
                <c:ptCount val="1"/>
                <c:pt idx="0">
                  <c:v>total_consultas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Consulta_por_Cidade!$C$4:$C$10</c:f>
              <c:strCache>
                <c:ptCount val="7"/>
                <c:pt idx="0">
                  <c:v>São Paulo</c:v>
                </c:pt>
                <c:pt idx="1">
                  <c:v>Campinas</c:v>
                </c:pt>
                <c:pt idx="2">
                  <c:v>Rio de Janeiro</c:v>
                </c:pt>
                <c:pt idx="3">
                  <c:v>Belo Horizonte</c:v>
                </c:pt>
                <c:pt idx="4">
                  <c:v>Curitiba</c:v>
                </c:pt>
                <c:pt idx="5">
                  <c:v>Porto Alegre</c:v>
                </c:pt>
                <c:pt idx="6">
                  <c:v>Salvador</c:v>
                </c:pt>
              </c:strCache>
            </c:strRef>
          </c:cat>
          <c:val>
            <c:numRef>
              <c:f>Consulta_por_Cidade!$D$4:$D$10</c:f>
              <c:numCache>
                <c:formatCode>General</c:formatCode>
                <c:ptCount val="7"/>
                <c:pt idx="0">
                  <c:v>20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EC-43C0-AF9A-88E47356A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596976"/>
        <c:axId val="682599888"/>
      </c:barChart>
      <c:catAx>
        <c:axId val="68259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599888"/>
        <c:crosses val="autoZero"/>
        <c:auto val="1"/>
        <c:lblAlgn val="ctr"/>
        <c:lblOffset val="100"/>
        <c:noMultiLvlLbl val="0"/>
      </c:catAx>
      <c:valAx>
        <c:axId val="68259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59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de</a:t>
            </a:r>
            <a:r>
              <a:rPr lang="en-US" baseline="0"/>
              <a:t> Cada</a:t>
            </a:r>
            <a:r>
              <a:rPr lang="en-US"/>
              <a:t> Mês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298425196850395"/>
          <c:y val="0.18097222222222226"/>
          <c:w val="0.7964601924759404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Faturamento_de_Cada_Mês!$D$3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Faturamento_de_Cada_Mês!$C$4:$C$7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f>Faturamento_de_Cada_Mês!$D$4:$D$7</c:f>
              <c:numCache>
                <c:formatCode>_("R$"* #,##0.00_);_("R$"* \(#,##0.00\);_("R$"* "-"??_);_(@_)</c:formatCode>
                <c:ptCount val="4"/>
                <c:pt idx="0">
                  <c:v>3390</c:v>
                </c:pt>
                <c:pt idx="1">
                  <c:v>7770</c:v>
                </c:pt>
                <c:pt idx="2">
                  <c:v>4560</c:v>
                </c:pt>
                <c:pt idx="3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7-44E6-97FA-123432D8F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9409568"/>
        <c:axId val="1809397920"/>
      </c:barChart>
      <c:catAx>
        <c:axId val="180940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9397920"/>
        <c:crosses val="autoZero"/>
        <c:auto val="1"/>
        <c:lblAlgn val="ctr"/>
        <c:lblOffset val="100"/>
        <c:noMultiLvlLbl val="0"/>
      </c:catAx>
      <c:valAx>
        <c:axId val="1809397920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940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Faturamento</a:t>
            </a:r>
            <a:r>
              <a:rPr lang="en-US" b="1" baseline="0">
                <a:solidFill>
                  <a:schemeClr val="tx1"/>
                </a:solidFill>
              </a:rPr>
              <a:t> por Médico</a:t>
            </a:r>
            <a:endParaRPr lang="en-US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Faturamento_por_Medico!$E$3</c:f>
              <c:strCache>
                <c:ptCount val="1"/>
                <c:pt idx="0">
                  <c:v>faturamento_do_medico</c:v>
                </c:pt>
              </c:strCache>
            </c:strRef>
          </c:tx>
          <c:spPr>
            <a:solidFill>
              <a:srgbClr val="FF2525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Faturamento_por_Medico!$C$4:$C$12</c:f>
              <c:strCache>
                <c:ptCount val="9"/>
                <c:pt idx="0">
                  <c:v>Dr. João Silva</c:v>
                </c:pt>
                <c:pt idx="1">
                  <c:v>Dr. Marcos Oliveira</c:v>
                </c:pt>
                <c:pt idx="2">
                  <c:v>Dr. Marcelo Nunes</c:v>
                </c:pt>
                <c:pt idx="3">
                  <c:v>Dra. Camila Torres</c:v>
                </c:pt>
                <c:pt idx="4">
                  <c:v>Dr. Ricardo Alves</c:v>
                </c:pt>
                <c:pt idx="5">
                  <c:v>Dra. Fernanda Rocha</c:v>
                </c:pt>
                <c:pt idx="6">
                  <c:v>Dra. Camila Duarte</c:v>
                </c:pt>
                <c:pt idx="7">
                  <c:v>Dr. Gustavo Rocha</c:v>
                </c:pt>
                <c:pt idx="8">
                  <c:v>Dra. Fernanda Lima</c:v>
                </c:pt>
              </c:strCache>
            </c:strRef>
          </c:cat>
          <c:val>
            <c:numRef>
              <c:f>Faturamento_por_Medico!$E$4:$E$12</c:f>
              <c:numCache>
                <c:formatCode>_-[$R$-416]\ * #,##0.00_-;\-[$R$-416]\ * #,##0.00_-;_-[$R$-416]\ * "-"??_-;_-@_-</c:formatCode>
                <c:ptCount val="9"/>
                <c:pt idx="0">
                  <c:v>2400</c:v>
                </c:pt>
                <c:pt idx="1">
                  <c:v>2300</c:v>
                </c:pt>
                <c:pt idx="2">
                  <c:v>2240</c:v>
                </c:pt>
                <c:pt idx="3">
                  <c:v>2050</c:v>
                </c:pt>
                <c:pt idx="4">
                  <c:v>2000</c:v>
                </c:pt>
                <c:pt idx="5">
                  <c:v>1900</c:v>
                </c:pt>
                <c:pt idx="6">
                  <c:v>1800</c:v>
                </c:pt>
                <c:pt idx="7">
                  <c:v>1760</c:v>
                </c:pt>
                <c:pt idx="8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D-4A72-9137-D2AE8ED87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730304"/>
        <c:axId val="657720320"/>
      </c:barChart>
      <c:catAx>
        <c:axId val="65773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720320"/>
        <c:crosses val="autoZero"/>
        <c:auto val="1"/>
        <c:lblAlgn val="ctr"/>
        <c:lblOffset val="100"/>
        <c:noMultiLvlLbl val="0"/>
      </c:catAx>
      <c:valAx>
        <c:axId val="6577203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73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Consulta</a:t>
            </a:r>
            <a:r>
              <a:rPr lang="en-US" baseline="0"/>
              <a:t> por Cidade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Consulta_por_Cidade!$D$3</c:f>
              <c:strCache>
                <c:ptCount val="1"/>
                <c:pt idx="0">
                  <c:v>total_consultas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Consulta_por_Cidade!$C$4:$C$10</c:f>
              <c:strCache>
                <c:ptCount val="7"/>
                <c:pt idx="0">
                  <c:v>São Paulo</c:v>
                </c:pt>
                <c:pt idx="1">
                  <c:v>Campinas</c:v>
                </c:pt>
                <c:pt idx="2">
                  <c:v>Rio de Janeiro</c:v>
                </c:pt>
                <c:pt idx="3">
                  <c:v>Belo Horizonte</c:v>
                </c:pt>
                <c:pt idx="4">
                  <c:v>Curitiba</c:v>
                </c:pt>
                <c:pt idx="5">
                  <c:v>Porto Alegre</c:v>
                </c:pt>
                <c:pt idx="6">
                  <c:v>Salvador</c:v>
                </c:pt>
              </c:strCache>
            </c:strRef>
          </c:cat>
          <c:val>
            <c:numRef>
              <c:f>Consulta_por_Cidade!$D$4:$D$10</c:f>
              <c:numCache>
                <c:formatCode>General</c:formatCode>
                <c:ptCount val="7"/>
                <c:pt idx="0">
                  <c:v>20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70-46C5-93F1-90CD061A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596976"/>
        <c:axId val="682599888"/>
      </c:barChart>
      <c:catAx>
        <c:axId val="68259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599888"/>
        <c:crosses val="autoZero"/>
        <c:auto val="1"/>
        <c:lblAlgn val="ctr"/>
        <c:lblOffset val="100"/>
        <c:noMultiLvlLbl val="0"/>
      </c:catAx>
      <c:valAx>
        <c:axId val="68259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59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PACIENTES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Pacientes_com_Mais_Receita!$E$22</c:f>
              <c:strCache>
                <c:ptCount val="1"/>
                <c:pt idx="0">
                  <c:v>gasto_total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Pacientes_com_Mais_Receita!$C$23:$C$27</c:f>
              <c:strCache>
                <c:ptCount val="5"/>
                <c:pt idx="0">
                  <c:v>Ricardo Anthony</c:v>
                </c:pt>
                <c:pt idx="1">
                  <c:v>Livia Graciani</c:v>
                </c:pt>
                <c:pt idx="2">
                  <c:v>Guilherme Patez</c:v>
                </c:pt>
                <c:pt idx="3">
                  <c:v>Luiza Carvalho</c:v>
                </c:pt>
                <c:pt idx="4">
                  <c:v>Matheus Garcia</c:v>
                </c:pt>
              </c:strCache>
            </c:strRef>
          </c:cat>
          <c:val>
            <c:numRef>
              <c:f>Pacientes_com_Mais_Receita!$E$23:$E$27</c:f>
              <c:numCache>
                <c:formatCode>_-[$R$-416]\ * #,##0.00_-;\-[$R$-416]\ * #,##0.00_-;_-[$R$-416]\ * "-"??_-;_-@_-</c:formatCode>
                <c:ptCount val="5"/>
                <c:pt idx="0">
                  <c:v>1190</c:v>
                </c:pt>
                <c:pt idx="1">
                  <c:v>1230</c:v>
                </c:pt>
                <c:pt idx="2">
                  <c:v>1240</c:v>
                </c:pt>
                <c:pt idx="3">
                  <c:v>1290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2-499D-84AA-C0EB97394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2578256"/>
        <c:axId val="682583664"/>
      </c:barChart>
      <c:catAx>
        <c:axId val="682578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583664"/>
        <c:crosses val="autoZero"/>
        <c:auto val="1"/>
        <c:lblAlgn val="ctr"/>
        <c:lblOffset val="100"/>
        <c:noMultiLvlLbl val="0"/>
      </c:catAx>
      <c:valAx>
        <c:axId val="682583664"/>
        <c:scaling>
          <c:orientation val="minMax"/>
        </c:scaling>
        <c:delete val="0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578256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92075</xdr:colOff>
      <xdr:row>2</xdr:row>
      <xdr:rowOff>3175</xdr:rowOff>
    </xdr:from>
    <xdr:to>
      <xdr:col>12</xdr:col>
      <xdr:colOff>596900</xdr:colOff>
      <xdr:row>18</xdr:row>
      <xdr:rowOff>25400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123824</xdr:colOff>
      <xdr:row>1</xdr:row>
      <xdr:rowOff>117475</xdr:rowOff>
    </xdr:from>
    <xdr:to>
      <xdr:col>14</xdr:col>
      <xdr:colOff>133350</xdr:colOff>
      <xdr:row>16</xdr:row>
      <xdr:rowOff>41275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381001</xdr:colOff>
      <xdr:row>2</xdr:row>
      <xdr:rowOff>64206</xdr:rowOff>
    </xdr:from>
    <xdr:to>
      <xdr:col>16</xdr:col>
      <xdr:colOff>254001</xdr:colOff>
      <xdr:row>16</xdr:row>
      <xdr:rowOff>126295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168275</xdr:colOff>
      <xdr:row>1</xdr:row>
      <xdr:rowOff>149225</xdr:rowOff>
    </xdr:from>
    <xdr:to>
      <xdr:col>13</xdr:col>
      <xdr:colOff>473075</xdr:colOff>
      <xdr:row>16</xdr:row>
      <xdr:rowOff>85725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1227365</xdr:colOff>
      <xdr:row>5</xdr:row>
      <xdr:rowOff>159657</xdr:rowOff>
    </xdr:from>
    <xdr:to>
      <xdr:col>5</xdr:col>
      <xdr:colOff>580572</xdr:colOff>
      <xdr:row>18</xdr:row>
      <xdr:rowOff>90715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2156809</xdr:colOff>
      <xdr:row>10</xdr:row>
      <xdr:rowOff>36286</xdr:rowOff>
    </xdr:from>
    <xdr:to>
      <xdr:col>1</xdr:col>
      <xdr:colOff>1087213</xdr:colOff>
      <xdr:row>25</xdr:row>
      <xdr:rowOff>70758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18142</xdr:colOff>
      <xdr:row>22</xdr:row>
      <xdr:rowOff>48798</xdr:rowOff>
    </xdr:from>
    <xdr:to>
      <xdr:col>5</xdr:col>
      <xdr:colOff>653143</xdr:colOff>
      <xdr:row>34</xdr:row>
      <xdr:rowOff>180489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919656</xdr:colOff>
      <xdr:row>10</xdr:row>
      <xdr:rowOff>87587</xdr:rowOff>
    </xdr:from>
    <xdr:to>
      <xdr:col>15</xdr:col>
      <xdr:colOff>138192</xdr:colOff>
      <xdr:row>25</xdr:row>
      <xdr:rowOff>38977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faturamento_mensal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2" name="Tabela2" displayName="Tabela2" ref="B3:F7" totalsRowShown="0" headerRowDxfId="11" dataDxfId="15" headerRowBorderDxfId="13" tableBorderDxfId="14" totalsRowBorderDxfId="12" dataCellStyle="Moeda">
  <autoFilter ref="B3:F7"/>
  <tableColumns count="5">
    <tableColumn id="1" name="numero_mes" dataDxfId="9"/>
    <tableColumn id="2" name="mes" dataDxfId="10"/>
    <tableColumn id="3" name="faturamento" dataDxfId="45" dataCellStyle="Moeda"/>
    <tableColumn id="4" name="faturamento_acumulado" dataDxfId="44" dataCellStyle="Moeda"/>
    <tableColumn id="5" name="diferença" dataDxfId="43" dataCellStyle="Mo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B3:E12" totalsRowShown="0" headerRowDxfId="16" headerRowBorderDxfId="18" tableBorderDxfId="19" totalsRowBorderDxfId="17">
  <autoFilter ref="B3:E12"/>
  <sortState ref="B4:E12">
    <sortCondition descending="1" ref="E3:E12"/>
  </sortState>
  <tableColumns count="4">
    <tableColumn id="1" name="ranking" dataDxfId="41"/>
    <tableColumn id="2" name="nome" dataDxfId="40"/>
    <tableColumn id="3" name="total_consultas" dataDxfId="39"/>
    <tableColumn id="4" name="faturamento_do_medico" dataDxfId="3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5" name="Tabela5" displayName="Tabela5" ref="B3:F19" totalsRowShown="0" headerRowDxfId="20" headerRowBorderDxfId="22" tableBorderDxfId="23" totalsRowBorderDxfId="21">
  <autoFilter ref="B3:F19"/>
  <tableColumns count="5">
    <tableColumn id="1" name="ranking" dataDxfId="32"/>
    <tableColumn id="2" name="nome" dataDxfId="31"/>
    <tableColumn id="3" name="total_consultas" dataDxfId="30"/>
    <tableColumn id="4" name="gasto_total" dataDxfId="29" dataCellStyle="Moeda"/>
    <tableColumn id="5" name="ticket_medio" dataDxfId="28" dataCellStyle="Moeda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8" name="Tabela8" displayName="Tabela8" ref="B22:F27" totalsRowShown="0" headerRowDxfId="0" headerRowBorderDxfId="7" tableBorderDxfId="8" totalsRowBorderDxfId="6">
  <autoFilter ref="B22:F27"/>
  <sortState ref="B23:F27">
    <sortCondition descending="1" ref="B22:B27"/>
  </sortState>
  <tableColumns count="5">
    <tableColumn id="1" name="ranking" dataDxfId="5"/>
    <tableColumn id="2" name="nome" dataDxfId="4"/>
    <tableColumn id="3" name="total_consultas" dataDxfId="3"/>
    <tableColumn id="4" name="gasto_total" dataDxfId="2" dataCellStyle="Moeda"/>
    <tableColumn id="5" name="ticket_medio" dataDxfId="1" dataCellStyle="Moeda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id="7" name="Tabela7" displayName="Tabela7" ref="B3:F10" totalsRowShown="0" headerRowDxfId="24" headerRowBorderDxfId="26" tableBorderDxfId="27" totalsRowBorderDxfId="25">
  <autoFilter ref="B3:F10"/>
  <tableColumns count="5">
    <tableColumn id="1" name="ranking" dataDxfId="37"/>
    <tableColumn id="2" name="cidade" dataDxfId="36"/>
    <tableColumn id="3" name="total_consultas" dataDxfId="35"/>
    <tableColumn id="4" name="faturamento" dataDxfId="34"/>
    <tableColumn id="5" name="ticket_medio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7"/>
  <sheetViews>
    <sheetView showGridLines="0" workbookViewId="0">
      <selection activeCell="C8" sqref="C8"/>
    </sheetView>
  </sheetViews>
  <sheetFormatPr defaultRowHeight="14.5" x14ac:dyDescent="0.35"/>
  <cols>
    <col min="1" max="1" width="4.36328125" customWidth="1"/>
    <col min="2" max="2" width="17.6328125" bestFit="1" customWidth="1"/>
    <col min="3" max="3" width="9.1796875" bestFit="1" customWidth="1"/>
    <col min="4" max="4" width="17" bestFit="1" customWidth="1"/>
    <col min="5" max="5" width="28.54296875" bestFit="1" customWidth="1"/>
    <col min="6" max="6" width="14" bestFit="1" customWidth="1"/>
    <col min="7" max="7" width="10.08984375" customWidth="1"/>
  </cols>
  <sheetData>
    <row r="3" spans="2:7" ht="16" thickBot="1" x14ac:dyDescent="0.4">
      <c r="B3" s="51" t="s">
        <v>0</v>
      </c>
      <c r="C3" s="52" t="s">
        <v>1</v>
      </c>
      <c r="D3" s="52" t="s">
        <v>2</v>
      </c>
      <c r="E3" s="52" t="s">
        <v>3</v>
      </c>
      <c r="F3" s="53" t="s">
        <v>4</v>
      </c>
    </row>
    <row r="4" spans="2:7" ht="15" thickBot="1" x14ac:dyDescent="0.4">
      <c r="B4" s="9">
        <v>1</v>
      </c>
      <c r="C4" s="3" t="s">
        <v>52</v>
      </c>
      <c r="D4" s="5">
        <v>3390</v>
      </c>
      <c r="E4" s="5">
        <v>3390</v>
      </c>
      <c r="F4" s="6">
        <v>0</v>
      </c>
    </row>
    <row r="5" spans="2:7" ht="15" thickBot="1" x14ac:dyDescent="0.4">
      <c r="B5" s="9">
        <v>2</v>
      </c>
      <c r="C5" s="3" t="s">
        <v>53</v>
      </c>
      <c r="D5" s="5">
        <v>7770</v>
      </c>
      <c r="E5" s="5">
        <v>11160</v>
      </c>
      <c r="F5" s="6">
        <v>4380</v>
      </c>
      <c r="G5" s="1"/>
    </row>
    <row r="6" spans="2:7" ht="15" thickBot="1" x14ac:dyDescent="0.4">
      <c r="B6" s="9">
        <v>3</v>
      </c>
      <c r="C6" s="3" t="s">
        <v>54</v>
      </c>
      <c r="D6" s="5">
        <v>4560</v>
      </c>
      <c r="E6" s="5">
        <v>15720</v>
      </c>
      <c r="F6" s="6">
        <v>-3210</v>
      </c>
    </row>
    <row r="7" spans="2:7" x14ac:dyDescent="0.35">
      <c r="B7" s="10">
        <v>4</v>
      </c>
      <c r="C7" s="4" t="s">
        <v>55</v>
      </c>
      <c r="D7" s="7">
        <v>2290</v>
      </c>
      <c r="E7" s="7">
        <v>18010</v>
      </c>
      <c r="F7" s="8">
        <v>-2270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2"/>
  <sheetViews>
    <sheetView showGridLines="0" workbookViewId="0">
      <selection activeCell="E4" sqref="B4:E12"/>
    </sheetView>
  </sheetViews>
  <sheetFormatPr defaultRowHeight="14.5" x14ac:dyDescent="0.35"/>
  <cols>
    <col min="2" max="2" width="12.26953125" bestFit="1" customWidth="1"/>
    <col min="3" max="3" width="18.453125" bestFit="1" customWidth="1"/>
    <col min="4" max="4" width="19.453125" bestFit="1" customWidth="1"/>
    <col min="5" max="5" width="28.54296875" bestFit="1" customWidth="1"/>
  </cols>
  <sheetData>
    <row r="3" spans="2:5" ht="16" thickBot="1" x14ac:dyDescent="0.4">
      <c r="B3" s="48" t="s">
        <v>5</v>
      </c>
      <c r="C3" s="49" t="s">
        <v>6</v>
      </c>
      <c r="D3" s="49" t="s">
        <v>7</v>
      </c>
      <c r="E3" s="50" t="s">
        <v>8</v>
      </c>
    </row>
    <row r="4" spans="2:5" ht="15" thickBot="1" x14ac:dyDescent="0.4">
      <c r="B4" s="19">
        <v>1</v>
      </c>
      <c r="C4" s="20" t="s">
        <v>17</v>
      </c>
      <c r="D4" s="21">
        <v>9</v>
      </c>
      <c r="E4" s="22">
        <v>2400</v>
      </c>
    </row>
    <row r="5" spans="2:5" ht="15" thickBot="1" x14ac:dyDescent="0.4">
      <c r="B5" s="27">
        <v>4</v>
      </c>
      <c r="C5" s="28" t="s">
        <v>11</v>
      </c>
      <c r="D5" s="29">
        <v>8</v>
      </c>
      <c r="E5" s="30">
        <v>2300</v>
      </c>
    </row>
    <row r="6" spans="2:5" ht="15" thickBot="1" x14ac:dyDescent="0.4">
      <c r="B6" s="19">
        <v>9</v>
      </c>
      <c r="C6" s="20" t="s">
        <v>16</v>
      </c>
      <c r="D6" s="21">
        <v>8</v>
      </c>
      <c r="E6" s="22">
        <v>2240</v>
      </c>
    </row>
    <row r="7" spans="2:5" ht="15" thickBot="1" x14ac:dyDescent="0.4">
      <c r="B7" s="25">
        <v>3</v>
      </c>
      <c r="C7" s="23" t="s">
        <v>10</v>
      </c>
      <c r="D7" s="24">
        <v>9</v>
      </c>
      <c r="E7" s="26">
        <v>2050</v>
      </c>
    </row>
    <row r="8" spans="2:5" ht="15" thickBot="1" x14ac:dyDescent="0.4">
      <c r="B8" s="19">
        <v>5</v>
      </c>
      <c r="C8" s="20" t="s">
        <v>12</v>
      </c>
      <c r="D8" s="21">
        <v>8</v>
      </c>
      <c r="E8" s="22">
        <v>2000</v>
      </c>
    </row>
    <row r="9" spans="2:5" ht="15" thickBot="1" x14ac:dyDescent="0.4">
      <c r="B9" s="27">
        <v>2</v>
      </c>
      <c r="C9" s="28" t="s">
        <v>9</v>
      </c>
      <c r="D9" s="29">
        <v>9</v>
      </c>
      <c r="E9" s="30">
        <v>1900</v>
      </c>
    </row>
    <row r="10" spans="2:5" ht="15" thickBot="1" x14ac:dyDescent="0.4">
      <c r="B10" s="27">
        <v>8</v>
      </c>
      <c r="C10" s="28" t="s">
        <v>15</v>
      </c>
      <c r="D10" s="29">
        <v>8</v>
      </c>
      <c r="E10" s="30">
        <v>1800</v>
      </c>
    </row>
    <row r="11" spans="2:5" ht="15" thickBot="1" x14ac:dyDescent="0.4">
      <c r="B11" s="19">
        <v>7</v>
      </c>
      <c r="C11" s="20" t="s">
        <v>14</v>
      </c>
      <c r="D11" s="21">
        <v>8</v>
      </c>
      <c r="E11" s="22">
        <v>1760</v>
      </c>
    </row>
    <row r="12" spans="2:5" x14ac:dyDescent="0.35">
      <c r="B12" s="69">
        <v>6</v>
      </c>
      <c r="C12" s="70" t="s">
        <v>13</v>
      </c>
      <c r="D12" s="71">
        <v>8</v>
      </c>
      <c r="E12" s="72">
        <v>1560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7"/>
  <sheetViews>
    <sheetView showGridLines="0" zoomScale="90" zoomScaleNormal="90" workbookViewId="0">
      <selection activeCell="M20" sqref="M20"/>
    </sheetView>
  </sheetViews>
  <sheetFormatPr defaultRowHeight="14.5" x14ac:dyDescent="0.35"/>
  <cols>
    <col min="2" max="2" width="12.90625" bestFit="1" customWidth="1"/>
    <col min="3" max="3" width="17" bestFit="1" customWidth="1"/>
    <col min="4" max="4" width="20.36328125" bestFit="1" customWidth="1"/>
    <col min="5" max="5" width="16.54296875" bestFit="1" customWidth="1"/>
    <col min="6" max="6" width="18.26953125" bestFit="1" customWidth="1"/>
  </cols>
  <sheetData>
    <row r="3" spans="2:6" ht="16" thickBot="1" x14ac:dyDescent="0.4">
      <c r="B3" s="45" t="s">
        <v>5</v>
      </c>
      <c r="C3" s="46" t="s">
        <v>6</v>
      </c>
      <c r="D3" s="46" t="s">
        <v>7</v>
      </c>
      <c r="E3" s="46" t="s">
        <v>18</v>
      </c>
      <c r="F3" s="47" t="s">
        <v>19</v>
      </c>
    </row>
    <row r="4" spans="2:6" ht="15" thickBot="1" x14ac:dyDescent="0.4">
      <c r="B4" s="31">
        <v>1</v>
      </c>
      <c r="C4" s="14" t="s">
        <v>20</v>
      </c>
      <c r="D4" s="11">
        <v>5</v>
      </c>
      <c r="E4" s="33">
        <v>1470</v>
      </c>
      <c r="F4" s="36">
        <v>294</v>
      </c>
    </row>
    <row r="5" spans="2:6" ht="15" thickBot="1" x14ac:dyDescent="0.4">
      <c r="B5" s="31">
        <v>2</v>
      </c>
      <c r="C5" s="14" t="s">
        <v>21</v>
      </c>
      <c r="D5" s="11">
        <v>5</v>
      </c>
      <c r="E5" s="33">
        <v>1290</v>
      </c>
      <c r="F5" s="36">
        <v>258</v>
      </c>
    </row>
    <row r="6" spans="2:6" ht="15" thickBot="1" x14ac:dyDescent="0.4">
      <c r="B6" s="31">
        <v>3</v>
      </c>
      <c r="C6" s="14" t="s">
        <v>22</v>
      </c>
      <c r="D6" s="11">
        <v>5</v>
      </c>
      <c r="E6" s="33">
        <v>1240</v>
      </c>
      <c r="F6" s="36">
        <v>248</v>
      </c>
    </row>
    <row r="7" spans="2:6" ht="15" thickBot="1" x14ac:dyDescent="0.4">
      <c r="B7" s="31">
        <v>4</v>
      </c>
      <c r="C7" s="14" t="s">
        <v>23</v>
      </c>
      <c r="D7" s="11">
        <v>5</v>
      </c>
      <c r="E7" s="33">
        <v>1230</v>
      </c>
      <c r="F7" s="36">
        <v>246</v>
      </c>
    </row>
    <row r="8" spans="2:6" ht="15" thickBot="1" x14ac:dyDescent="0.4">
      <c r="B8" s="31">
        <v>5</v>
      </c>
      <c r="C8" s="14" t="s">
        <v>24</v>
      </c>
      <c r="D8" s="11">
        <v>5</v>
      </c>
      <c r="E8" s="33">
        <v>1190</v>
      </c>
      <c r="F8" s="36">
        <v>238</v>
      </c>
    </row>
    <row r="9" spans="2:6" ht="15" thickBot="1" x14ac:dyDescent="0.4">
      <c r="B9" s="31">
        <v>6</v>
      </c>
      <c r="C9" s="14" t="s">
        <v>25</v>
      </c>
      <c r="D9" s="11">
        <v>5</v>
      </c>
      <c r="E9" s="33">
        <v>1160</v>
      </c>
      <c r="F9" s="36">
        <v>232</v>
      </c>
    </row>
    <row r="10" spans="2:6" ht="15" thickBot="1" x14ac:dyDescent="0.4">
      <c r="B10" s="31">
        <v>7</v>
      </c>
      <c r="C10" s="14" t="s">
        <v>26</v>
      </c>
      <c r="D10" s="11">
        <v>5</v>
      </c>
      <c r="E10" s="33">
        <v>1160</v>
      </c>
      <c r="F10" s="36">
        <v>232</v>
      </c>
    </row>
    <row r="11" spans="2:6" ht="15" thickBot="1" x14ac:dyDescent="0.4">
      <c r="B11" s="31">
        <v>8</v>
      </c>
      <c r="C11" s="14" t="s">
        <v>27</v>
      </c>
      <c r="D11" s="11">
        <v>5</v>
      </c>
      <c r="E11" s="33">
        <v>1120</v>
      </c>
      <c r="F11" s="36">
        <v>224</v>
      </c>
    </row>
    <row r="12" spans="2:6" ht="15" thickBot="1" x14ac:dyDescent="0.4">
      <c r="B12" s="31">
        <v>9</v>
      </c>
      <c r="C12" s="14" t="s">
        <v>28</v>
      </c>
      <c r="D12" s="11">
        <v>5</v>
      </c>
      <c r="E12" s="33">
        <v>1110</v>
      </c>
      <c r="F12" s="36">
        <v>222</v>
      </c>
    </row>
    <row r="13" spans="2:6" ht="15" thickBot="1" x14ac:dyDescent="0.4">
      <c r="B13" s="31">
        <v>10</v>
      </c>
      <c r="C13" s="14" t="s">
        <v>29</v>
      </c>
      <c r="D13" s="11">
        <v>5</v>
      </c>
      <c r="E13" s="33">
        <v>1100</v>
      </c>
      <c r="F13" s="36">
        <v>220</v>
      </c>
    </row>
    <row r="14" spans="2:6" ht="15" thickBot="1" x14ac:dyDescent="0.4">
      <c r="B14" s="31">
        <v>11</v>
      </c>
      <c r="C14" s="14" t="s">
        <v>30</v>
      </c>
      <c r="D14" s="11">
        <v>4</v>
      </c>
      <c r="E14" s="33">
        <v>1090</v>
      </c>
      <c r="F14" s="36">
        <v>272.5</v>
      </c>
    </row>
    <row r="15" spans="2:6" ht="15" thickBot="1" x14ac:dyDescent="0.4">
      <c r="B15" s="31">
        <v>12</v>
      </c>
      <c r="C15" s="14" t="s">
        <v>31</v>
      </c>
      <c r="D15" s="11">
        <v>5</v>
      </c>
      <c r="E15" s="33">
        <v>1050</v>
      </c>
      <c r="F15" s="36">
        <v>210</v>
      </c>
    </row>
    <row r="16" spans="2:6" ht="15" thickBot="1" x14ac:dyDescent="0.4">
      <c r="B16" s="31">
        <v>13</v>
      </c>
      <c r="C16" s="14" t="s">
        <v>32</v>
      </c>
      <c r="D16" s="11">
        <v>4</v>
      </c>
      <c r="E16" s="33">
        <v>980</v>
      </c>
      <c r="F16" s="36">
        <v>245</v>
      </c>
    </row>
    <row r="17" spans="2:6" ht="15" thickBot="1" x14ac:dyDescent="0.4">
      <c r="B17" s="31">
        <v>14</v>
      </c>
      <c r="C17" s="14" t="s">
        <v>33</v>
      </c>
      <c r="D17" s="11">
        <v>4</v>
      </c>
      <c r="E17" s="33">
        <v>940</v>
      </c>
      <c r="F17" s="36">
        <v>235</v>
      </c>
    </row>
    <row r="18" spans="2:6" ht="15" thickBot="1" x14ac:dyDescent="0.4">
      <c r="B18" s="31">
        <v>15</v>
      </c>
      <c r="C18" s="14" t="s">
        <v>34</v>
      </c>
      <c r="D18" s="11">
        <v>4</v>
      </c>
      <c r="E18" s="33">
        <v>940</v>
      </c>
      <c r="F18" s="36">
        <v>235</v>
      </c>
    </row>
    <row r="19" spans="2:6" x14ac:dyDescent="0.35">
      <c r="B19" s="32">
        <v>16</v>
      </c>
      <c r="C19" s="15" t="s">
        <v>35</v>
      </c>
      <c r="D19" s="12">
        <v>4</v>
      </c>
      <c r="E19" s="34">
        <v>940</v>
      </c>
      <c r="F19" s="37">
        <v>235</v>
      </c>
    </row>
    <row r="20" spans="2:6" ht="15" thickBot="1" x14ac:dyDescent="0.4"/>
    <row r="21" spans="2:6" x14ac:dyDescent="0.35">
      <c r="B21" s="61" t="s">
        <v>51</v>
      </c>
      <c r="C21" s="62"/>
      <c r="D21" s="62"/>
      <c r="E21" s="62"/>
      <c r="F21" s="63"/>
    </row>
    <row r="22" spans="2:6" ht="16" thickBot="1" x14ac:dyDescent="0.4">
      <c r="B22" s="56" t="s">
        <v>5</v>
      </c>
      <c r="C22" s="55" t="s">
        <v>6</v>
      </c>
      <c r="D22" s="55" t="s">
        <v>7</v>
      </c>
      <c r="E22" s="55" t="s">
        <v>18</v>
      </c>
      <c r="F22" s="59" t="s">
        <v>19</v>
      </c>
    </row>
    <row r="23" spans="2:6" ht="15" thickBot="1" x14ac:dyDescent="0.4">
      <c r="B23" s="57">
        <v>5</v>
      </c>
      <c r="C23" s="17" t="s">
        <v>24</v>
      </c>
      <c r="D23" s="18">
        <v>5</v>
      </c>
      <c r="E23" s="35">
        <v>1190</v>
      </c>
      <c r="F23" s="60">
        <v>238</v>
      </c>
    </row>
    <row r="24" spans="2:6" ht="15" thickBot="1" x14ac:dyDescent="0.4">
      <c r="B24" s="58">
        <v>4</v>
      </c>
      <c r="C24" s="16" t="s">
        <v>23</v>
      </c>
      <c r="D24" s="13">
        <v>5</v>
      </c>
      <c r="E24" s="33">
        <v>1230</v>
      </c>
      <c r="F24" s="36">
        <v>246</v>
      </c>
    </row>
    <row r="25" spans="2:6" ht="15" thickBot="1" x14ac:dyDescent="0.4">
      <c r="B25" s="57">
        <v>3</v>
      </c>
      <c r="C25" s="17" t="s">
        <v>22</v>
      </c>
      <c r="D25" s="18">
        <v>5</v>
      </c>
      <c r="E25" s="35">
        <v>1240</v>
      </c>
      <c r="F25" s="60">
        <v>248</v>
      </c>
    </row>
    <row r="26" spans="2:6" ht="15" thickBot="1" x14ac:dyDescent="0.4">
      <c r="B26" s="58">
        <v>2</v>
      </c>
      <c r="C26" s="16" t="s">
        <v>21</v>
      </c>
      <c r="D26" s="13">
        <v>5</v>
      </c>
      <c r="E26" s="33">
        <v>1290</v>
      </c>
      <c r="F26" s="36">
        <v>258</v>
      </c>
    </row>
    <row r="27" spans="2:6" x14ac:dyDescent="0.35">
      <c r="B27" s="64">
        <v>1</v>
      </c>
      <c r="C27" s="65" t="s">
        <v>20</v>
      </c>
      <c r="D27" s="66">
        <v>5</v>
      </c>
      <c r="E27" s="67">
        <v>1470</v>
      </c>
      <c r="F27" s="68">
        <v>294</v>
      </c>
    </row>
  </sheetData>
  <mergeCells count="1">
    <mergeCell ref="B21:F21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"/>
  <sheetViews>
    <sheetView showGridLines="0" workbookViewId="0">
      <selection activeCell="B3" sqref="B3:F3"/>
    </sheetView>
  </sheetViews>
  <sheetFormatPr defaultRowHeight="14.5" x14ac:dyDescent="0.35"/>
  <cols>
    <col min="2" max="2" width="12.26953125" bestFit="1" customWidth="1"/>
    <col min="3" max="3" width="13.1796875" bestFit="1" customWidth="1"/>
    <col min="4" max="4" width="19.453125" bestFit="1" customWidth="1"/>
    <col min="5" max="5" width="17" bestFit="1" customWidth="1"/>
    <col min="6" max="6" width="17.453125" bestFit="1" customWidth="1"/>
  </cols>
  <sheetData>
    <row r="3" spans="2:6" ht="16" thickBot="1" x14ac:dyDescent="0.4">
      <c r="B3" s="42" t="s">
        <v>5</v>
      </c>
      <c r="C3" s="43" t="s">
        <v>36</v>
      </c>
      <c r="D3" s="43" t="s">
        <v>7</v>
      </c>
      <c r="E3" s="43" t="s">
        <v>2</v>
      </c>
      <c r="F3" s="44" t="s">
        <v>19</v>
      </c>
    </row>
    <row r="4" spans="2:6" ht="15" thickBot="1" x14ac:dyDescent="0.4">
      <c r="B4" s="31">
        <v>1</v>
      </c>
      <c r="C4" s="14" t="s">
        <v>43</v>
      </c>
      <c r="D4" s="11">
        <v>20</v>
      </c>
      <c r="E4" s="38">
        <v>4630</v>
      </c>
      <c r="F4" s="39">
        <v>231.5</v>
      </c>
    </row>
    <row r="5" spans="2:6" ht="15" thickBot="1" x14ac:dyDescent="0.4">
      <c r="B5" s="31">
        <v>2</v>
      </c>
      <c r="C5" s="14" t="s">
        <v>37</v>
      </c>
      <c r="D5" s="11">
        <v>10</v>
      </c>
      <c r="E5" s="38">
        <v>2210</v>
      </c>
      <c r="F5" s="39">
        <v>221</v>
      </c>
    </row>
    <row r="6" spans="2:6" ht="15" thickBot="1" x14ac:dyDescent="0.4">
      <c r="B6" s="31">
        <v>3</v>
      </c>
      <c r="C6" s="14" t="s">
        <v>38</v>
      </c>
      <c r="D6" s="11">
        <v>10</v>
      </c>
      <c r="E6" s="38">
        <v>2410</v>
      </c>
      <c r="F6" s="39">
        <v>241</v>
      </c>
    </row>
    <row r="7" spans="2:6" ht="15" thickBot="1" x14ac:dyDescent="0.4">
      <c r="B7" s="31">
        <v>4</v>
      </c>
      <c r="C7" s="14" t="s">
        <v>39</v>
      </c>
      <c r="D7" s="11">
        <v>9</v>
      </c>
      <c r="E7" s="38">
        <v>2450</v>
      </c>
      <c r="F7" s="39">
        <v>272.22000000000003</v>
      </c>
    </row>
    <row r="8" spans="2:6" ht="15" thickBot="1" x14ac:dyDescent="0.4">
      <c r="B8" s="31">
        <v>5</v>
      </c>
      <c r="C8" s="14" t="s">
        <v>40</v>
      </c>
      <c r="D8" s="11">
        <v>9</v>
      </c>
      <c r="E8" s="38">
        <v>2180</v>
      </c>
      <c r="F8" s="39">
        <v>242.22</v>
      </c>
    </row>
    <row r="9" spans="2:6" ht="15" thickBot="1" x14ac:dyDescent="0.4">
      <c r="B9" s="31">
        <v>6</v>
      </c>
      <c r="C9" s="14" t="s">
        <v>41</v>
      </c>
      <c r="D9" s="11">
        <v>9</v>
      </c>
      <c r="E9" s="38">
        <v>2100</v>
      </c>
      <c r="F9" s="39">
        <v>233.33</v>
      </c>
    </row>
    <row r="10" spans="2:6" x14ac:dyDescent="0.35">
      <c r="B10" s="32">
        <v>7</v>
      </c>
      <c r="C10" s="15" t="s">
        <v>42</v>
      </c>
      <c r="D10" s="12">
        <v>8</v>
      </c>
      <c r="E10" s="40">
        <v>2030</v>
      </c>
      <c r="F10" s="41">
        <v>253.75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6"/>
  <sheetViews>
    <sheetView showGridLines="0" showRowColHeaders="0" tabSelected="1" zoomScale="60" zoomScaleNormal="60" workbookViewId="0">
      <selection activeCell="H29" sqref="H29"/>
    </sheetView>
  </sheetViews>
  <sheetFormatPr defaultRowHeight="14.5" x14ac:dyDescent="0.35"/>
  <cols>
    <col min="1" max="1" width="96.08984375" customWidth="1"/>
    <col min="2" max="2" width="23.81640625" bestFit="1" customWidth="1"/>
    <col min="3" max="3" width="14.08984375" bestFit="1" customWidth="1"/>
    <col min="4" max="5" width="17" bestFit="1" customWidth="1"/>
    <col min="6" max="6" width="19.90625" bestFit="1" customWidth="1"/>
    <col min="7" max="7" width="14.54296875" bestFit="1" customWidth="1"/>
  </cols>
  <sheetData>
    <row r="1" spans="1:15" ht="31" x14ac:dyDescent="0.7">
      <c r="B1" s="54" t="s">
        <v>50</v>
      </c>
      <c r="C1" s="54"/>
      <c r="D1" s="54"/>
      <c r="E1" s="54"/>
      <c r="F1" s="54"/>
      <c r="G1" s="54"/>
    </row>
    <row r="2" spans="1:15" x14ac:dyDescent="0.35">
      <c r="A2" s="2"/>
      <c r="B2" s="73"/>
      <c r="C2" s="73"/>
      <c r="D2" s="73"/>
      <c r="E2" s="73"/>
      <c r="F2" s="73"/>
      <c r="G2" s="73"/>
      <c r="H2" s="2"/>
      <c r="I2" s="2"/>
      <c r="J2" s="2"/>
      <c r="K2" s="2"/>
      <c r="L2" s="2"/>
      <c r="M2" s="2"/>
      <c r="N2" s="2"/>
      <c r="O2" s="2"/>
    </row>
    <row r="3" spans="1:15" ht="15" thickBot="1" x14ac:dyDescent="0.4"/>
    <row r="4" spans="1:15" ht="22" thickTop="1" thickBot="1" x14ac:dyDescent="0.55000000000000004">
      <c r="B4" s="74" t="s">
        <v>44</v>
      </c>
      <c r="C4" s="74" t="s">
        <v>45</v>
      </c>
      <c r="D4" s="74" t="s">
        <v>46</v>
      </c>
      <c r="E4" s="74" t="s">
        <v>47</v>
      </c>
      <c r="F4" s="74" t="s">
        <v>48</v>
      </c>
      <c r="G4" s="74" t="s">
        <v>49</v>
      </c>
    </row>
    <row r="5" spans="1:15" ht="22" thickTop="1" thickBot="1" x14ac:dyDescent="0.55000000000000004">
      <c r="B5" s="75">
        <f>SUM(Faturamento_de_Cada_Mês!D:D)</f>
        <v>18010</v>
      </c>
      <c r="C5" s="76">
        <f>SUM(Faturamento_por_Medico!D:D)</f>
        <v>75</v>
      </c>
      <c r="D5" s="75">
        <f>SUM(Faturamento_de_Cada_Mês!D:D) / SUM(Faturamento_por_Medico!D:D)</f>
        <v>240.13333333333333</v>
      </c>
      <c r="E5" s="76" t="str">
        <f>Faturamento_por_Medico!C4</f>
        <v>Dr. João Silva</v>
      </c>
      <c r="F5" s="76" t="str">
        <f>Pacientes_com_Mais_Receita!C4</f>
        <v>Matheus Garcia</v>
      </c>
      <c r="G5" s="76" t="str">
        <f>Consulta_por_Cidade!C4</f>
        <v>São Paulo</v>
      </c>
    </row>
    <row r="6" spans="1:15" ht="15" thickTop="1" x14ac:dyDescent="0.35"/>
  </sheetData>
  <mergeCells count="1">
    <mergeCell ref="B1:G1"/>
  </mergeCells>
  <pageMargins left="0.511811024" right="0.511811024" top="0.78740157499999996" bottom="0.78740157499999996" header="0.31496062000000002" footer="0.31496062000000002"/>
  <pageSetup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6759F7-CE30-4776-B6F2-E068D8D8D9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</vt:i4>
      </vt:variant>
    </vt:vector>
  </HeadingPairs>
  <TitlesOfParts>
    <vt:vector size="6" baseType="lpstr">
      <vt:lpstr>Faturamento_de_Cada_Mês</vt:lpstr>
      <vt:lpstr>Faturamento_por_Medico</vt:lpstr>
      <vt:lpstr>Pacientes_com_Mais_Receita</vt:lpstr>
      <vt:lpstr>Consulta_por_Cidade</vt:lpstr>
      <vt:lpstr>Dashboard_Clinica</vt:lpstr>
      <vt:lpstr>Faturamento_de_Cada_Mês!faturamento_mensal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Santos</dc:creator>
  <cp:lastModifiedBy>Carol Santos</cp:lastModifiedBy>
  <dcterms:created xsi:type="dcterms:W3CDTF">2026-03-10T10:59:48Z</dcterms:created>
  <dcterms:modified xsi:type="dcterms:W3CDTF">2026-03-10T14:25:44Z</dcterms:modified>
</cp:coreProperties>
</file>